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yond-Tech\Desktop\Spring 2026\Undergrad_S26\Undergrad_S26\New files - 30 mins operation\"/>
    </mc:Choice>
  </mc:AlternateContent>
  <xr:revisionPtr revIDLastSave="0" documentId="13_ncr:1_{AE583629-B04A-49F7-A723-815A09A8A0F8}" xr6:coauthVersionLast="47" xr6:coauthVersionMax="47" xr10:uidLastSave="{00000000-0000-0000-0000-000000000000}"/>
  <bookViews>
    <workbookView xWindow="-110" yWindow="-110" windowWidth="19420" windowHeight="10300" xr2:uid="{CC7F7132-E95F-4140-B37C-F83F9E8F9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<sst xmlns="http://schemas.openxmlformats.org/spreadsheetml/2006/main" count="13" uniqueCount="13">
  <si>
    <t>R0</t>
  </si>
  <si>
    <t>R1</t>
  </si>
  <si>
    <t>R2</t>
  </si>
  <si>
    <t>R3</t>
  </si>
  <si>
    <t>C1</t>
  </si>
  <si>
    <t>C2</t>
  </si>
  <si>
    <t>C3</t>
  </si>
  <si>
    <t>T1</t>
  </si>
  <si>
    <t>T2</t>
  </si>
  <si>
    <t>T3</t>
  </si>
  <si>
    <t>SOC</t>
  </si>
  <si>
    <t>OCV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</si>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</sst>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A7F8-AB30-491B-961E-7F83BD5B316D}">
  <dimension ref="A1:U21"/>
  <sheetViews>
    <sheetView tabSelected="1" zoomScale="84" workbookViewId="0">
      <selection activeCell="S3" sqref="S3"/>
    </sheetView>
  </sheetViews>
  <sheetFormatPr defaultRowHeight="14.5" x14ac:dyDescent="0.35"/>
  <cols>
    <col min="1" max="3" width="9.1796875" style="1"/>
    <col min="5" max="17" width="9.1796875" style="1"/>
    <col min="20" max="21" width="8.7265625" style="4"/>
  </cols>
  <sheetData>
    <row r="1" spans="1:21" x14ac:dyDescent="0.35">
      <c r="A1" s="2" t="s">
        <v>10</v>
      </c>
      <c r="C1" s="2" t="s">
        <v>11</v>
      </c>
      <c r="E1" s="2" t="s">
        <v>0</v>
      </c>
      <c r="G1" s="2" t="s">
        <v>1</v>
      </c>
      <c r="H1" s="2" t="s">
        <v>7</v>
      </c>
      <c r="I1" s="2" t="s">
        <v>4</v>
      </c>
      <c r="K1" s="2" t="s">
        <v>2</v>
      </c>
      <c r="L1" s="2" t="s">
        <v>8</v>
      </c>
      <c r="M1" s="2" t="s">
        <v>5</v>
      </c>
      <c r="O1" s="2" t="s">
        <v>3</v>
      </c>
      <c r="P1" s="2" t="s">
        <v>9</v>
      </c>
      <c r="Q1" s="2" t="s">
        <v>6</v>
      </c>
      <c r="S1" s="2" t="s">
        <v>12</v>
      </c>
      <c r="T1" s="3"/>
      <c r="U1" s="3"/>
    </row>
    <row r="2" spans="1:21" x14ac:dyDescent="0.35">
      <c r="A2" s="1">
        <v>5.0000000000001002E-2</v>
      </c>
      <c r="C2" s="1">
        <v>3.03</v>
      </c>
      <c r="E2" s="1">
        <v>6.3E-3</v>
      </c>
      <c r="G2" s="1">
        <v>1.2200000000000001E-2</v>
      </c>
      <c r="H2" s="1">
        <v>5.1848000000000001</v>
      </c>
      <c r="I2" s="1">
        <f>H2/G2</f>
        <v>424.98360655737702</v>
      </c>
      <c r="K2" s="1">
        <v>0.89670000000000005</v>
      </c>
      <c r="L2" s="1">
        <v>50.120800000000003</v>
      </c>
      <c r="M2" s="1">
        <f>L2/K2</f>
        <v>55.894725103156013</v>
      </c>
      <c r="O2" s="1">
        <v>0.97929999999999995</v>
      </c>
      <c r="P2" s="1">
        <v>369.75639999999999</v>
      </c>
      <c r="Q2" s="1">
        <f>P2/O2</f>
        <v>377.57214336771165</v>
      </c>
      <c r="S2">
        <f>1/(2*3.14*H2)</f>
        <v>3.0712017587912536E-2</v>
      </c>
    </row>
    <row r="3" spans="1:21" x14ac:dyDescent="0.35">
      <c r="A3" s="1">
        <v>0.100000000000001</v>
      </c>
      <c r="C3" s="1">
        <v>3.6177999999999999</v>
      </c>
      <c r="E3" s="1">
        <v>1.9099999999999999E-2</v>
      </c>
      <c r="G3" s="1">
        <v>1.11E-2</v>
      </c>
      <c r="H3" s="1">
        <v>2.0354000000000001</v>
      </c>
      <c r="I3" s="1">
        <f t="shared" ref="I3:I21" si="0">H3/G3</f>
        <v>183.36936936936937</v>
      </c>
      <c r="K3" s="1">
        <v>1.47E-2</v>
      </c>
      <c r="L3" s="1">
        <v>124.0772</v>
      </c>
      <c r="M3" s="1">
        <f t="shared" ref="M3:M21" si="1">L3/K3</f>
        <v>8440.6258503401368</v>
      </c>
      <c r="O3" s="1">
        <v>0.66200000000000003</v>
      </c>
      <c r="P3" s="1">
        <v>3497.9</v>
      </c>
      <c r="Q3" s="1">
        <f t="shared" ref="Q3:Q21" si="2">P3/O3</f>
        <v>5283.8368580060423</v>
      </c>
    </row>
    <row r="4" spans="1:21" x14ac:dyDescent="0.35">
      <c r="A4" s="1">
        <v>0.15000000000000099</v>
      </c>
      <c r="C4" s="1">
        <v>3.7471000000000001</v>
      </c>
      <c r="E4" s="1">
        <v>4.3400000000000001E-2</v>
      </c>
      <c r="G4" s="1">
        <v>1.11E-2</v>
      </c>
      <c r="H4" s="1">
        <v>2.4788000000000001</v>
      </c>
      <c r="I4" s="1">
        <f t="shared" si="0"/>
        <v>223.3153153153153</v>
      </c>
      <c r="K4" s="1">
        <v>3.5299999999999998E-2</v>
      </c>
      <c r="L4" s="1">
        <v>64.444900000000004</v>
      </c>
      <c r="M4" s="1">
        <f t="shared" si="1"/>
        <v>1825.6345609065158</v>
      </c>
      <c r="O4" s="1">
        <v>6.0499999999999998E-2</v>
      </c>
      <c r="P4" s="1">
        <v>638.12099999999998</v>
      </c>
      <c r="Q4" s="1">
        <f t="shared" si="2"/>
        <v>10547.454545454546</v>
      </c>
    </row>
    <row r="5" spans="1:21" x14ac:dyDescent="0.35">
      <c r="A5" s="1">
        <v>0.20000000000000101</v>
      </c>
      <c r="C5" s="1">
        <v>3.7698999999999998</v>
      </c>
      <c r="E5" s="1">
        <v>4.5499999999999999E-2</v>
      </c>
      <c r="G5" s="1">
        <v>1.12E-2</v>
      </c>
      <c r="H5" s="1">
        <v>2.4392</v>
      </c>
      <c r="I5" s="1">
        <f t="shared" si="0"/>
        <v>217.78571428571428</v>
      </c>
      <c r="K5" s="1">
        <v>2.86E-2</v>
      </c>
      <c r="L5" s="1">
        <v>78.292400000000001</v>
      </c>
      <c r="M5" s="1">
        <f t="shared" si="1"/>
        <v>2737.4965034965035</v>
      </c>
      <c r="O5" s="1">
        <v>9.9000000000000008E-3</v>
      </c>
      <c r="P5" s="1">
        <v>1027.8</v>
      </c>
      <c r="Q5" s="1">
        <f t="shared" si="2"/>
        <v>103818.18181818181</v>
      </c>
    </row>
    <row r="6" spans="1:21" x14ac:dyDescent="0.35">
      <c r="A6" s="1">
        <v>0.250000000000001</v>
      </c>
      <c r="C6" s="1">
        <v>3.8106</v>
      </c>
      <c r="E6" s="1">
        <v>4.0399999999999998E-2</v>
      </c>
      <c r="G6" s="1">
        <v>1.17E-2</v>
      </c>
      <c r="H6" s="1">
        <v>2.4661</v>
      </c>
      <c r="I6" s="1">
        <f t="shared" si="0"/>
        <v>210.77777777777777</v>
      </c>
      <c r="K6" s="1">
        <v>2.8799999999999999E-2</v>
      </c>
      <c r="L6" s="1">
        <v>75.886099999999999</v>
      </c>
      <c r="M6" s="1">
        <f t="shared" si="1"/>
        <v>2634.9340277777778</v>
      </c>
      <c r="O6" s="1">
        <v>1.2800000000000001E-2</v>
      </c>
      <c r="P6" s="1">
        <v>750.1617</v>
      </c>
      <c r="Q6" s="1">
        <f t="shared" si="2"/>
        <v>58606.3828125</v>
      </c>
    </row>
    <row r="7" spans="1:21" x14ac:dyDescent="0.35">
      <c r="A7" s="1">
        <v>0.30000000000000099</v>
      </c>
      <c r="C7" s="1">
        <v>3.8393999999999999</v>
      </c>
      <c r="E7" s="1">
        <v>4.8099999999999997E-2</v>
      </c>
      <c r="G7" s="1">
        <v>1.17E-2</v>
      </c>
      <c r="H7" s="1">
        <v>2.0449000000000002</v>
      </c>
      <c r="I7" s="1">
        <f t="shared" si="0"/>
        <v>174.7777777777778</v>
      </c>
      <c r="K7" s="1">
        <v>2.86E-2</v>
      </c>
      <c r="L7" s="1">
        <v>79.695999999999998</v>
      </c>
      <c r="M7" s="1">
        <f t="shared" si="1"/>
        <v>2786.5734265734263</v>
      </c>
      <c r="O7" s="1">
        <v>1.9099999999999999E-2</v>
      </c>
      <c r="P7" s="1">
        <v>524.6413</v>
      </c>
      <c r="Q7" s="1">
        <f t="shared" si="2"/>
        <v>27468.130890052358</v>
      </c>
    </row>
    <row r="8" spans="1:21" x14ac:dyDescent="0.35">
      <c r="A8" s="1">
        <v>0.35000000000000098</v>
      </c>
      <c r="C8" s="1">
        <v>3.8685</v>
      </c>
      <c r="E8" s="1">
        <v>3.8300000000000001E-2</v>
      </c>
      <c r="G8" s="1">
        <v>1.17E-2</v>
      </c>
      <c r="H8" s="1">
        <v>2.0196999999999998</v>
      </c>
      <c r="I8" s="1">
        <f t="shared" si="0"/>
        <v>172.62393162393161</v>
      </c>
      <c r="K8" s="1">
        <v>3.9600000000000003E-2</v>
      </c>
      <c r="L8" s="1">
        <v>106.66970000000001</v>
      </c>
      <c r="M8" s="1">
        <f t="shared" si="1"/>
        <v>2693.6792929292928</v>
      </c>
      <c r="O8" s="1">
        <v>2.9499999999999998E-2</v>
      </c>
      <c r="P8" s="1">
        <v>1863.9</v>
      </c>
      <c r="Q8" s="1">
        <f t="shared" si="2"/>
        <v>63183.050847457635</v>
      </c>
    </row>
    <row r="9" spans="1:21" x14ac:dyDescent="0.35">
      <c r="A9" s="1">
        <v>0.40000000000000102</v>
      </c>
      <c r="C9" s="1">
        <v>3.8742000000000001</v>
      </c>
      <c r="E9" s="1">
        <v>5.11E-2</v>
      </c>
      <c r="G9" s="1">
        <v>1.14E-2</v>
      </c>
      <c r="H9" s="1">
        <v>1.9881</v>
      </c>
      <c r="I9" s="1">
        <f t="shared" si="0"/>
        <v>174.39473684210526</v>
      </c>
      <c r="K9" s="1">
        <v>3.4000000000000002E-2</v>
      </c>
      <c r="L9" s="1">
        <v>78.472499999999997</v>
      </c>
      <c r="M9" s="1">
        <f t="shared" si="1"/>
        <v>2308.0147058823527</v>
      </c>
      <c r="O9" s="1">
        <v>9.7600000000000006E-2</v>
      </c>
      <c r="P9" s="1">
        <v>638.40959999999995</v>
      </c>
      <c r="Q9" s="1">
        <f t="shared" si="2"/>
        <v>6541.0819672131138</v>
      </c>
    </row>
    <row r="10" spans="1:21" x14ac:dyDescent="0.35">
      <c r="A10" s="1">
        <v>0.45000000000000101</v>
      </c>
      <c r="C10" s="1">
        <v>3.8860000000000001</v>
      </c>
      <c r="E10" s="1">
        <v>4.4200000000000003E-2</v>
      </c>
      <c r="G10" s="1">
        <v>1.0699999999999999E-2</v>
      </c>
      <c r="H10" s="1">
        <v>1.9594</v>
      </c>
      <c r="I10" s="1">
        <f t="shared" si="0"/>
        <v>183.12149532710282</v>
      </c>
      <c r="K10" s="1">
        <v>2.93E-2</v>
      </c>
      <c r="L10" s="1">
        <v>75.679000000000002</v>
      </c>
      <c r="M10" s="1">
        <f t="shared" si="1"/>
        <v>2582.9010238907849</v>
      </c>
      <c r="O10" s="1">
        <v>8.8000000000000005E-3</v>
      </c>
      <c r="P10" s="1">
        <v>875.60820000000001</v>
      </c>
      <c r="Q10" s="1">
        <f t="shared" si="2"/>
        <v>99500.931818181809</v>
      </c>
    </row>
    <row r="11" spans="1:21" x14ac:dyDescent="0.35">
      <c r="A11" s="1">
        <v>0.500000000000001</v>
      </c>
      <c r="C11" s="1">
        <v>3.9047999999999998</v>
      </c>
      <c r="E11" s="1">
        <v>4.2999999999999997E-2</v>
      </c>
      <c r="G11" s="1">
        <v>1.0500000000000001E-2</v>
      </c>
      <c r="H11" s="1">
        <v>1.9507000000000001</v>
      </c>
      <c r="I11" s="1">
        <f t="shared" si="0"/>
        <v>185.78095238095239</v>
      </c>
      <c r="K11" s="1">
        <v>3.4599999999999999E-2</v>
      </c>
      <c r="L11" s="1">
        <v>68.603800000000007</v>
      </c>
      <c r="M11" s="1">
        <f t="shared" si="1"/>
        <v>1982.7687861271679</v>
      </c>
      <c r="O11" s="1">
        <v>2.5399999999999999E-2</v>
      </c>
      <c r="P11" s="1">
        <v>2033.5</v>
      </c>
      <c r="Q11" s="1">
        <f t="shared" si="2"/>
        <v>80059.055118110235</v>
      </c>
    </row>
    <row r="12" spans="1:21" x14ac:dyDescent="0.35">
      <c r="A12" s="1">
        <v>0.55000000000000004</v>
      </c>
      <c r="C12" s="1">
        <v>3.9466000000000001</v>
      </c>
      <c r="E12" s="1">
        <v>4.24E-2</v>
      </c>
      <c r="G12" s="1">
        <v>1.0500000000000001E-2</v>
      </c>
      <c r="H12" s="1">
        <v>2.2212000000000001</v>
      </c>
      <c r="I12" s="1">
        <f t="shared" si="0"/>
        <v>211.54285714285714</v>
      </c>
      <c r="K12" s="1">
        <v>3.5700000000000003E-2</v>
      </c>
      <c r="L12" s="1">
        <v>67.912400000000005</v>
      </c>
      <c r="M12" s="1">
        <f t="shared" si="1"/>
        <v>1902.3081232492998</v>
      </c>
      <c r="O12" s="1">
        <v>4.24E-2</v>
      </c>
      <c r="P12" s="1">
        <v>1211.7</v>
      </c>
      <c r="Q12" s="1">
        <f t="shared" si="2"/>
        <v>28577.830188679247</v>
      </c>
    </row>
    <row r="13" spans="1:21" x14ac:dyDescent="0.35">
      <c r="A13" s="1">
        <v>0.6</v>
      </c>
      <c r="C13" s="1">
        <v>3.9931999999999999</v>
      </c>
      <c r="E13" s="1">
        <v>4.1700000000000001E-2</v>
      </c>
      <c r="G13" s="1">
        <v>1.03E-2</v>
      </c>
      <c r="H13" s="1">
        <v>2.3043</v>
      </c>
      <c r="I13" s="1">
        <f t="shared" si="0"/>
        <v>223.71844660194174</v>
      </c>
      <c r="K13" s="1">
        <v>3.9300000000000002E-2</v>
      </c>
      <c r="L13" s="1">
        <v>69.976200000000006</v>
      </c>
      <c r="M13" s="1">
        <f t="shared" si="1"/>
        <v>1780.5648854961833</v>
      </c>
      <c r="O13" s="1">
        <v>4.2700000000000002E-2</v>
      </c>
      <c r="P13" s="1">
        <v>1038.5999999999999</v>
      </c>
      <c r="Q13" s="1">
        <f t="shared" si="2"/>
        <v>24323.1850117096</v>
      </c>
    </row>
    <row r="14" spans="1:21" x14ac:dyDescent="0.35">
      <c r="A14" s="1">
        <v>0.65</v>
      </c>
      <c r="C14" s="1">
        <v>4.0240999999999998</v>
      </c>
      <c r="E14" s="1">
        <v>4.2700000000000002E-2</v>
      </c>
      <c r="G14" s="1">
        <v>1.03E-2</v>
      </c>
      <c r="H14" s="1">
        <v>1.9024000000000001</v>
      </c>
      <c r="I14" s="1">
        <f t="shared" si="0"/>
        <v>184.69902912621359</v>
      </c>
      <c r="K14" s="1">
        <v>3.9199999999999999E-2</v>
      </c>
      <c r="L14" s="1">
        <v>68.631</v>
      </c>
      <c r="M14" s="1">
        <f t="shared" si="1"/>
        <v>1750.7908163265306</v>
      </c>
      <c r="O14" s="1">
        <v>7.7499999999999999E-2</v>
      </c>
      <c r="P14" s="1">
        <v>794.0856</v>
      </c>
      <c r="Q14" s="1">
        <f t="shared" si="2"/>
        <v>10246.265806451613</v>
      </c>
    </row>
    <row r="15" spans="1:21" x14ac:dyDescent="0.35">
      <c r="A15" s="1">
        <v>0.7</v>
      </c>
      <c r="C15" s="1">
        <v>4.0358000000000001</v>
      </c>
      <c r="E15" s="1">
        <v>4.1300000000000003E-2</v>
      </c>
      <c r="G15" s="1">
        <v>1.04E-2</v>
      </c>
      <c r="H15" s="1">
        <v>1.7754000000000001</v>
      </c>
      <c r="I15" s="1">
        <f t="shared" si="0"/>
        <v>170.71153846153848</v>
      </c>
      <c r="K15" s="1">
        <v>3.8899999999999997E-2</v>
      </c>
      <c r="L15" s="1">
        <v>69.145499999999998</v>
      </c>
      <c r="M15" s="1">
        <f t="shared" si="1"/>
        <v>1777.5192802056556</v>
      </c>
      <c r="O15" s="1">
        <v>4.48E-2</v>
      </c>
      <c r="P15" s="1">
        <v>524.42010000000005</v>
      </c>
      <c r="Q15" s="1">
        <f t="shared" si="2"/>
        <v>11705.805803571429</v>
      </c>
    </row>
    <row r="16" spans="1:21" x14ac:dyDescent="0.35">
      <c r="A16" s="1">
        <v>0.75</v>
      </c>
      <c r="C16" s="1">
        <v>4.0377999999999998</v>
      </c>
      <c r="E16" s="1">
        <v>3.9399999999999998E-2</v>
      </c>
      <c r="G16" s="1">
        <v>1.06E-2</v>
      </c>
      <c r="H16" s="1">
        <v>1.4104000000000001</v>
      </c>
      <c r="I16" s="1">
        <f t="shared" si="0"/>
        <v>133.05660377358492</v>
      </c>
      <c r="K16" s="1">
        <v>4.1099999999999998E-2</v>
      </c>
      <c r="L16" s="1">
        <v>60.308500000000002</v>
      </c>
      <c r="M16" s="1">
        <f t="shared" si="1"/>
        <v>1467.3600973236012</v>
      </c>
      <c r="O16" s="1">
        <v>3.3599999999999998E-2</v>
      </c>
      <c r="P16" s="1">
        <v>470.07139999999998</v>
      </c>
      <c r="Q16" s="1">
        <f t="shared" si="2"/>
        <v>13990.220238095239</v>
      </c>
    </row>
    <row r="17" spans="1:17" x14ac:dyDescent="0.35">
      <c r="A17" s="1">
        <v>0.8</v>
      </c>
      <c r="C17" s="1">
        <v>4.0392999999999999</v>
      </c>
      <c r="E17" s="1">
        <v>4.3700000000000003E-2</v>
      </c>
      <c r="G17" s="1">
        <v>1.0500000000000001E-2</v>
      </c>
      <c r="H17" s="1">
        <v>1.2702</v>
      </c>
      <c r="I17" s="1">
        <f t="shared" si="0"/>
        <v>120.97142857142856</v>
      </c>
      <c r="K17" s="1">
        <v>3.5999999999999997E-2</v>
      </c>
      <c r="L17" s="1">
        <v>65.610100000000003</v>
      </c>
      <c r="M17" s="1">
        <f t="shared" si="1"/>
        <v>1822.502777777778</v>
      </c>
      <c r="O17" s="1">
        <v>2.0199999999999999E-2</v>
      </c>
      <c r="P17" s="1">
        <v>722.18050000000005</v>
      </c>
      <c r="Q17" s="1">
        <f t="shared" si="2"/>
        <v>35751.509900990102</v>
      </c>
    </row>
    <row r="18" spans="1:17" x14ac:dyDescent="0.35">
      <c r="A18" s="1">
        <v>0.85</v>
      </c>
      <c r="C18" s="1">
        <v>4.0429000000000004</v>
      </c>
      <c r="E18" s="1">
        <v>3.4500000000000003E-2</v>
      </c>
      <c r="G18" s="1">
        <v>1.0200000000000001E-2</v>
      </c>
      <c r="H18" s="1">
        <v>1.0559000000000001</v>
      </c>
      <c r="I18" s="1">
        <f t="shared" si="0"/>
        <v>103.51960784313725</v>
      </c>
      <c r="K18" s="1">
        <v>3.6900000000000002E-2</v>
      </c>
      <c r="L18" s="1">
        <v>60.163899999999998</v>
      </c>
      <c r="M18" s="1">
        <f t="shared" si="1"/>
        <v>1630.4579945799458</v>
      </c>
      <c r="O18" s="1">
        <v>1.5699999999999999E-2</v>
      </c>
      <c r="P18" s="1">
        <v>1290</v>
      </c>
      <c r="Q18" s="1">
        <f t="shared" si="2"/>
        <v>82165.60509554141</v>
      </c>
    </row>
    <row r="19" spans="1:17" x14ac:dyDescent="0.35">
      <c r="A19" s="1">
        <v>0.9</v>
      </c>
      <c r="C19" s="1">
        <v>4.0475000000000003</v>
      </c>
      <c r="E19" s="1">
        <v>5.2400000000000002E-2</v>
      </c>
      <c r="G19" s="1">
        <v>9.9000000000000008E-3</v>
      </c>
      <c r="H19" s="1">
        <v>1.0619000000000001</v>
      </c>
      <c r="I19" s="1">
        <f t="shared" si="0"/>
        <v>107.26262626262626</v>
      </c>
      <c r="K19" s="1">
        <v>2.6700000000000002E-2</v>
      </c>
      <c r="L19" s="1">
        <v>52.319699999999997</v>
      </c>
      <c r="M19" s="1">
        <f t="shared" si="1"/>
        <v>1959.5393258426964</v>
      </c>
      <c r="O19" s="1">
        <v>1.5599999999999999E-2</v>
      </c>
      <c r="P19" s="1">
        <v>414.4751</v>
      </c>
      <c r="Q19" s="1">
        <f t="shared" si="2"/>
        <v>26568.916666666668</v>
      </c>
    </row>
    <row r="20" spans="1:17" x14ac:dyDescent="0.35">
      <c r="A20" s="1">
        <v>0.95</v>
      </c>
      <c r="C20" s="1">
        <v>4.0674999999999999</v>
      </c>
      <c r="E20" s="1">
        <v>3.6499999999999998E-2</v>
      </c>
      <c r="G20" s="1">
        <v>0.01</v>
      </c>
      <c r="H20" s="1">
        <v>1.0082</v>
      </c>
      <c r="I20" s="1">
        <f t="shared" si="0"/>
        <v>100.82</v>
      </c>
      <c r="K20" s="1">
        <v>1.9E-2</v>
      </c>
      <c r="L20" s="1">
        <v>47.328000000000003</v>
      </c>
      <c r="M20" s="1">
        <f t="shared" si="1"/>
        <v>2490.9473684210529</v>
      </c>
      <c r="O20" s="1">
        <v>8.3999999999999995E-3</v>
      </c>
      <c r="P20" s="1">
        <v>354.17849999999999</v>
      </c>
      <c r="Q20" s="1">
        <f t="shared" si="2"/>
        <v>42164.107142857145</v>
      </c>
    </row>
    <row r="21" spans="1:17" x14ac:dyDescent="0.35">
      <c r="A21" s="1">
        <v>1</v>
      </c>
      <c r="C21" s="1">
        <v>4.1816000000000004</v>
      </c>
      <c r="E21" s="1">
        <v>3.2800000000000003E-2</v>
      </c>
      <c r="G21" s="1">
        <v>1.49E-2</v>
      </c>
      <c r="H21" s="1">
        <v>1.1101000000000001</v>
      </c>
      <c r="I21" s="1">
        <f t="shared" si="0"/>
        <v>74.503355704697995</v>
      </c>
      <c r="K21" s="1">
        <v>9.1800000000000007E-2</v>
      </c>
      <c r="L21" s="1">
        <v>31.654499999999999</v>
      </c>
      <c r="M21" s="1">
        <f t="shared" si="1"/>
        <v>344.82026143790847</v>
      </c>
      <c r="O21" s="1">
        <v>2.24E-2</v>
      </c>
      <c r="P21" s="1">
        <v>152.09800000000001</v>
      </c>
      <c r="Q21" s="1">
        <f t="shared" si="2"/>
        <v>6790.0892857142862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500B17DB2F5443995E82A32A22D62C" ma:contentTypeVersion="13" ma:contentTypeDescription="Create a new document." ma:contentTypeScope="" ma:versionID="684e41b81092eb639a96eaaf0a274786">
  <xsd:schema xmlns:xsd="http://www.w3.org/2001/XMLSchema" xmlns:xs="http://www.w3.org/2001/XMLSchema" xmlns:p="http://schemas.microsoft.com/office/2006/metadata/properties" xmlns:ns2="edcd99f2-96f2-497d-87f2-858912e5606c" xmlns:ns3="b16d2702-800f-4edc-b57b-6743287ed677" targetNamespace="http://schemas.microsoft.com/office/2006/metadata/properties" ma:root="true" ma:fieldsID="4e263f36f5ae600d6a45e942ee2f4da3" ns2:_="" ns3:_="">
    <xsd:import namespace="edcd99f2-96f2-497d-87f2-858912e5606c"/>
    <xsd:import namespace="b16d2702-800f-4edc-b57b-6743287ed6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d99f2-96f2-497d-87f2-858912e56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ec3725d-01fc-4a1c-938d-696f520e9a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d2702-800f-4edc-b57b-6743287ed67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519d5fa6-57fc-4618-b221-00c69bca2c8b}" ma:internalName="TaxCatchAll" ma:showField="CatchAllData" ma:web="b16d2702-800f-4edc-b57b-6743287ed6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6d2702-800f-4edc-b57b-6743287ed677" xsi:nil="true"/>
    <lcf76f155ced4ddcb4097134ff3c332f xmlns="edcd99f2-96f2-497d-87f2-858912e560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1DBD4C-7D25-41F2-8B54-194698B0B1FA}"/>
</file>

<file path=customXml/itemProps2.xml><?xml version="1.0" encoding="utf-8"?>
<ds:datastoreItem xmlns:ds="http://schemas.openxmlformats.org/officeDocument/2006/customXml" ds:itemID="{783B22C0-07E2-4936-9844-FDEFF4A85462}"/>
</file>

<file path=customXml/itemProps3.xml><?xml version="1.0" encoding="utf-8"?>
<ds:datastoreItem xmlns:ds="http://schemas.openxmlformats.org/officeDocument/2006/customXml" ds:itemID="{F243EDB6-AFBA-414E-B8CC-503FA9B28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Lebanese American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Zayour, Nancy</dc:creator>
  <cp:lastModifiedBy>Nancy Zayour</cp:lastModifiedBy>
  <dcterms:created xsi:type="dcterms:W3CDTF">2026-01-27T13:41:57Z</dcterms:created>
  <dcterms:modified xsi:type="dcterms:W3CDTF">2026-03-05T20:07:18Z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0x01010022500B17DB2F5443995E82A32A22D62C</vt:lpwstr>
  </property>
</Properties>
</file>